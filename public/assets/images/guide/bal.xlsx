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ms\Downloads\"/>
    </mc:Choice>
  </mc:AlternateContent>
  <xr:revisionPtr revIDLastSave="0" documentId="13_ncr:1_{F8090064-67D4-4FA3-859C-8B2E24CD6443}" xr6:coauthVersionLast="47" xr6:coauthVersionMax="47" xr10:uidLastSave="{00000000-0000-0000-0000-000000000000}"/>
  <bookViews>
    <workbookView xWindow="-110" yWindow="-110" windowWidth="19420" windowHeight="11020" firstSheet="9" activeTab="13" xr2:uid="{CF3547C1-53B3-4C8C-BA27-60B8129E2A3A}"/>
  </bookViews>
  <sheets>
    <sheet name="BLUE STRIKERS" sheetId="3" r:id="rId1"/>
    <sheet name="FC BARCELONA" sheetId="4" r:id="rId2"/>
    <sheet name="LA MASIA" sheetId="5" r:id="rId3"/>
    <sheet name="KOPITES" sheetId="6" r:id="rId4"/>
    <sheet name="PORTLAND" sheetId="7" r:id="rId5"/>
    <sheet name="LEGENDS" sheetId="8" r:id="rId6"/>
    <sheet name="LOS BLANCOS" sheetId="9" r:id="rId7"/>
    <sheet name="LOS GALACTICOS" sheetId="10" r:id="rId8"/>
    <sheet name="MANCHESTER UNITED" sheetId="11" r:id="rId9"/>
    <sheet name="PSYCHOZ" sheetId="12" r:id="rId10"/>
    <sheet name="QATAR" sheetId="13" r:id="rId11"/>
    <sheet name="SKILL 555" sheetId="14" r:id="rId12"/>
    <sheet name="VARSITY" sheetId="15" r:id="rId13"/>
    <sheet name="RED HAWKS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6" l="1"/>
  <c r="E8" i="16" s="1"/>
  <c r="F6" i="16"/>
  <c r="F5" i="16"/>
  <c r="F4" i="16"/>
  <c r="F3" i="16"/>
  <c r="F2" i="16"/>
  <c r="F3" i="15"/>
  <c r="F4" i="15"/>
  <c r="F5" i="15"/>
  <c r="F6" i="15"/>
  <c r="F7" i="15"/>
  <c r="F2" i="15"/>
  <c r="F3" i="14"/>
  <c r="F4" i="14"/>
  <c r="F5" i="14"/>
  <c r="F6" i="14"/>
  <c r="F7" i="14"/>
  <c r="F2" i="14"/>
  <c r="F3" i="13"/>
  <c r="F4" i="13"/>
  <c r="F5" i="13"/>
  <c r="F6" i="13"/>
  <c r="F7" i="13"/>
  <c r="F2" i="13"/>
  <c r="F3" i="12"/>
  <c r="F4" i="12"/>
  <c r="F5" i="12"/>
  <c r="F6" i="12"/>
  <c r="F2" i="12"/>
  <c r="F3" i="11"/>
  <c r="F4" i="11"/>
  <c r="F5" i="11"/>
  <c r="F6" i="11"/>
  <c r="F7" i="11"/>
  <c r="F2" i="11"/>
  <c r="F3" i="10"/>
  <c r="F4" i="10"/>
  <c r="F5" i="10"/>
  <c r="F6" i="10"/>
  <c r="F7" i="10"/>
  <c r="F2" i="10"/>
  <c r="F3" i="9"/>
  <c r="F4" i="9"/>
  <c r="F5" i="9"/>
  <c r="F6" i="9"/>
  <c r="F7" i="9"/>
  <c r="F2" i="9"/>
  <c r="F3" i="8"/>
  <c r="F4" i="8"/>
  <c r="F5" i="8"/>
  <c r="F6" i="8"/>
  <c r="F2" i="8"/>
  <c r="F3" i="7"/>
  <c r="F4" i="7"/>
  <c r="F5" i="7"/>
  <c r="F6" i="7"/>
  <c r="F2" i="7"/>
  <c r="F3" i="6"/>
  <c r="F4" i="6"/>
  <c r="F5" i="6"/>
  <c r="F6" i="6"/>
  <c r="F2" i="6"/>
  <c r="F3" i="5"/>
  <c r="F4" i="5"/>
  <c r="F5" i="5"/>
  <c r="F6" i="5"/>
  <c r="F2" i="5"/>
  <c r="F3" i="4"/>
  <c r="F4" i="4"/>
  <c r="F5" i="4"/>
  <c r="F6" i="4"/>
  <c r="F7" i="4"/>
  <c r="F2" i="4"/>
  <c r="F3" i="3"/>
  <c r="F4" i="3"/>
  <c r="F5" i="3"/>
  <c r="F6" i="3"/>
  <c r="F2" i="3"/>
  <c r="E9" i="10"/>
  <c r="E8" i="12"/>
  <c r="E9" i="13"/>
  <c r="E9" i="14"/>
  <c r="E8" i="15"/>
  <c r="E9" i="15" s="1"/>
  <c r="E8" i="14"/>
  <c r="E8" i="13"/>
  <c r="E7" i="12"/>
  <c r="E8" i="11"/>
  <c r="E9" i="11" s="1"/>
  <c r="E8" i="10"/>
  <c r="E8" i="9"/>
  <c r="E9" i="9" s="1"/>
  <c r="E7" i="8"/>
  <c r="E8" i="8" s="1"/>
  <c r="E7" i="7"/>
  <c r="E8" i="7" s="1"/>
  <c r="E7" i="6"/>
  <c r="E8" i="6" s="1"/>
  <c r="E7" i="5"/>
  <c r="E8" i="5" s="1"/>
  <c r="E8" i="4"/>
  <c r="E9" i="4" s="1"/>
  <c r="E7" i="3"/>
  <c r="E8" i="3" s="1"/>
</calcChain>
</file>

<file path=xl/sharedStrings.xml><?xml version="1.0" encoding="utf-8"?>
<sst xmlns="http://schemas.openxmlformats.org/spreadsheetml/2006/main" count="266" uniqueCount="99">
  <si>
    <t>Rashil Basheer</t>
  </si>
  <si>
    <t>Blue Strikers</t>
  </si>
  <si>
    <t>Gokul GC</t>
  </si>
  <si>
    <t>ANVAR</t>
  </si>
  <si>
    <t>Firoz Ahammed</t>
  </si>
  <si>
    <t>Mohamed Roshan</t>
  </si>
  <si>
    <t>Amjad</t>
  </si>
  <si>
    <t>FC Barcelona</t>
  </si>
  <si>
    <t>Ansaf Azeez</t>
  </si>
  <si>
    <t>Nabeel</t>
  </si>
  <si>
    <t>Muneer ummer</t>
  </si>
  <si>
    <t>Jaseel Mohd</t>
  </si>
  <si>
    <t>Karthik Mohan</t>
  </si>
  <si>
    <t>Nishal Ashraf</t>
  </si>
  <si>
    <t>La Masia</t>
  </si>
  <si>
    <t>PRANAV TV</t>
  </si>
  <si>
    <t>IRSHAD AK</t>
  </si>
  <si>
    <t>Athif Muhammed</t>
  </si>
  <si>
    <t>ARIF LEO</t>
  </si>
  <si>
    <t>Fajas</t>
  </si>
  <si>
    <t>Kopites</t>
  </si>
  <si>
    <t>sanju</t>
  </si>
  <si>
    <t>DR SHAMIL</t>
  </si>
  <si>
    <t>Anshad</t>
  </si>
  <si>
    <t>Aboobaker Siddique</t>
  </si>
  <si>
    <t>Kiran Asokan</t>
  </si>
  <si>
    <t>Portland Timbers</t>
  </si>
  <si>
    <t>Shameeem</t>
  </si>
  <si>
    <t>Vimal</t>
  </si>
  <si>
    <t>Arjun Ravi</t>
  </si>
  <si>
    <t>Sunu</t>
  </si>
  <si>
    <t>Anas leo</t>
  </si>
  <si>
    <t>Legends FC</t>
  </si>
  <si>
    <t>Muhammed Riswan kp</t>
  </si>
  <si>
    <t>ATHUL KRISHNA</t>
  </si>
  <si>
    <t>Melwin sajan</t>
  </si>
  <si>
    <t>Rohith</t>
  </si>
  <si>
    <t>Nihal</t>
  </si>
  <si>
    <t>Los Blancos</t>
  </si>
  <si>
    <t>Anandhu pg</t>
  </si>
  <si>
    <t>Mufaris Ibrahim</t>
  </si>
  <si>
    <t>Aju</t>
  </si>
  <si>
    <t>Jomon aj</t>
  </si>
  <si>
    <t>Alfred jose</t>
  </si>
  <si>
    <t>Abid Rizwan</t>
  </si>
  <si>
    <t>Los Galacticos</t>
  </si>
  <si>
    <t>Shamsear</t>
  </si>
  <si>
    <t>Aashique</t>
  </si>
  <si>
    <t>ameen k</t>
  </si>
  <si>
    <t>Shaan</t>
  </si>
  <si>
    <t>Shamil</t>
  </si>
  <si>
    <t>SIRAJ</t>
  </si>
  <si>
    <t>Manchester United</t>
  </si>
  <si>
    <t>FAIZAL</t>
  </si>
  <si>
    <t>HIJAS N</t>
  </si>
  <si>
    <t>Abdul Gafoor</t>
  </si>
  <si>
    <t>Hyder</t>
  </si>
  <si>
    <t>AJAS</t>
  </si>
  <si>
    <t>Muhammed Fijas</t>
  </si>
  <si>
    <t>Psychoz</t>
  </si>
  <si>
    <t>RAHUL KL</t>
  </si>
  <si>
    <t>Muhammed Alim</t>
  </si>
  <si>
    <t>Sourav Krishna</t>
  </si>
  <si>
    <t>Goku</t>
  </si>
  <si>
    <t>Umar</t>
  </si>
  <si>
    <t>Qatar Gladiators</t>
  </si>
  <si>
    <t>Shamil Mohd</t>
  </si>
  <si>
    <t>Muhammad safvan</t>
  </si>
  <si>
    <t>Zaneer</t>
  </si>
  <si>
    <t>Binto K Benny</t>
  </si>
  <si>
    <t>ASHRAF</t>
  </si>
  <si>
    <t>Fayis</t>
  </si>
  <si>
    <t>Skill 555</t>
  </si>
  <si>
    <t>Anu Anshin</t>
  </si>
  <si>
    <t>Anshad ameer</t>
  </si>
  <si>
    <t>Unni Torres</t>
  </si>
  <si>
    <t>Muhammed Badhusha</t>
  </si>
  <si>
    <t>Safar</t>
  </si>
  <si>
    <t>Jithin Sabri</t>
  </si>
  <si>
    <t>Varsity Soccers</t>
  </si>
  <si>
    <t>Muhammad fasal</t>
  </si>
  <si>
    <t>Mohammed Suhail PA</t>
  </si>
  <si>
    <t>MUNEER BIN ALI</t>
  </si>
  <si>
    <t>Shinto</t>
  </si>
  <si>
    <t>Adil Mubarack</t>
  </si>
  <si>
    <t>BALANCE</t>
  </si>
  <si>
    <t>TOTAL SPENT</t>
  </si>
  <si>
    <t>NAME</t>
  </si>
  <si>
    <t>TEAM</t>
  </si>
  <si>
    <t>STAR</t>
  </si>
  <si>
    <t>POINTS</t>
  </si>
  <si>
    <t>VALUE</t>
  </si>
  <si>
    <t>SALARY PER MATCH</t>
  </si>
  <si>
    <t>Ansil</t>
  </si>
  <si>
    <t>Red Hawks FC</t>
  </si>
  <si>
    <t>Ambady</t>
  </si>
  <si>
    <t>Abdul Rouf</t>
  </si>
  <si>
    <t>Fazal Umer Mohamed</t>
  </si>
  <si>
    <t>Mohamed Raees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</si>
</sst>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1" fillId="3" borderId="2" xfId="0" applyFont="1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0" borderId="1" xfId="0" applyBorder="1" applyAlignment="1">
      <alignment wrapText="1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2" borderId="3" xfId="0" applyFill="1" applyBorder="1"/>
    <xf numFmtId="0" fontId="0" fillId="4" borderId="3" xfId="0" applyFill="1" applyBorder="1"/>
  </cellXfs>
  <cellStyles count="1">
    <cellStyle name="Normal" xfId="0" builtinId="0"/>
  </cellStyles>
  <dxfs count="38"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B1D082-D7D0-442D-B3F0-C2B1A00095F8}" name="Table2" displayName="Table2" ref="A1:F6" totalsRowShown="0" headerRowDxfId="37" headerRowBorderDxfId="36" tableBorderDxfId="35">
  <autoFilter ref="A1:F6" xr:uid="{71B1D082-D7D0-442D-B3F0-C2B1A00095F8}"/>
  <tableColumns count="6">
    <tableColumn id="1" xr3:uid="{B0BE3BF9-3409-4008-8C48-2D74D370EB95}" name="NAME"/>
    <tableColumn id="2" xr3:uid="{DA4ED2EB-4E19-4F8E-8DAD-9FB39D3441E1}" name="TEAM"/>
    <tableColumn id="3" xr3:uid="{EBA4CF74-C2FA-41C0-92D5-FB99F1112C99}" name="STAR"/>
    <tableColumn id="4" xr3:uid="{84A9006F-1E79-45C8-A08B-B26BA61D01D7}" name="POINTS"/>
    <tableColumn id="5" xr3:uid="{09B1C1CB-A3F9-40A0-AAD8-7C6608F7157C}" name="VALUE"/>
    <tableColumn id="6" xr3:uid="{02BC9B12-A20A-46FF-AB77-258F9181BA55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2B1D47-800D-48FD-B06D-E4E2A933308D}" name="Table4" displayName="Table4" ref="A1:F7" totalsRowShown="0" headerRowDxfId="34" headerRowBorderDxfId="33" tableBorderDxfId="32">
  <autoFilter ref="A1:F7" xr:uid="{E22B1D47-800D-48FD-B06D-E4E2A933308D}"/>
  <tableColumns count="6">
    <tableColumn id="1" xr3:uid="{BB5CB869-FD7D-4865-B2B2-29BC07C65F9E}" name="NAME"/>
    <tableColumn id="2" xr3:uid="{4B1F3D7B-A472-47C9-836F-D5B04682DCCA}" name="TEAM"/>
    <tableColumn id="3" xr3:uid="{0AC36621-B437-482F-9D24-E1AAA830B9B0}" name="STAR"/>
    <tableColumn id="4" xr3:uid="{35080DDE-4DA9-4BF0-82CB-AE5B1C6691A2}" name="POINTS"/>
    <tableColumn id="5" xr3:uid="{6DB71FFA-1B3D-43F4-993A-E8ABAB66941F}" name="VALUE"/>
    <tableColumn id="6" xr3:uid="{C399A22C-C958-44BD-85C5-8FF0D834590D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4BD172-FA11-4A78-A382-70A7B1894A88}" name="Table5" displayName="Table5" ref="A1:F6" totalsRowShown="0" headerRowDxfId="31" headerRowBorderDxfId="30" tableBorderDxfId="29">
  <autoFilter ref="A1:F6" xr:uid="{074BD172-FA11-4A78-A382-70A7B1894A88}"/>
  <tableColumns count="6">
    <tableColumn id="1" xr3:uid="{1B3B5F72-4004-4744-B33F-755F09FD0B06}" name="NAME"/>
    <tableColumn id="2" xr3:uid="{068B4FBD-8C8C-4DF7-9A4C-1AD215943BD0}" name="TEAM"/>
    <tableColumn id="3" xr3:uid="{BA64E194-BB98-4D5E-A442-41776CC07997}" name="STAR"/>
    <tableColumn id="4" xr3:uid="{F966EC08-5D12-4D22-AD12-E27B5AB5199F}" name="POINTS"/>
    <tableColumn id="5" xr3:uid="{9192654D-1A6A-4131-B7E3-DCAE76A166ED}" name="VALUE"/>
    <tableColumn id="6" xr3:uid="{E1619DAE-8EF0-4019-BA53-0BCFB6901492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24D172-BA7C-49A5-8F39-91056DEB730B}" name="Table6" displayName="Table6" ref="A1:F6" totalsRowShown="0" headerRowDxfId="28" headerRowBorderDxfId="27" tableBorderDxfId="26">
  <autoFilter ref="A1:F6" xr:uid="{8F24D172-BA7C-49A5-8F39-91056DEB730B}"/>
  <tableColumns count="6">
    <tableColumn id="1" xr3:uid="{1D4057AE-7477-45E4-8814-704D62B12E03}" name="NAME"/>
    <tableColumn id="2" xr3:uid="{14197F4E-4F69-4F8D-8798-A2CC9EEE1BD0}" name="TEAM"/>
    <tableColumn id="3" xr3:uid="{48A72920-3ADF-463D-8908-1AC2D0D6B72C}" name="STAR"/>
    <tableColumn id="4" xr3:uid="{E25F2C11-3B14-4FE0-AA83-7CDA18E68056}" name="POINTS"/>
    <tableColumn id="5" xr3:uid="{17BE352D-5AE1-4304-A6A1-99DDF0C7DAEF}" name="VALUE"/>
    <tableColumn id="6" xr3:uid="{91CC9808-1C08-46EF-9084-BFFFC6AF73ED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E6CCEE-4D58-4F6A-B63B-D13F9FE6C3FD}" name="Table7" displayName="Table7" ref="A1:F6" totalsRowShown="0" headerRowDxfId="25" headerRowBorderDxfId="24" tableBorderDxfId="23">
  <autoFilter ref="A1:F6" xr:uid="{62E6CCEE-4D58-4F6A-B63B-D13F9FE6C3FD}"/>
  <tableColumns count="6">
    <tableColumn id="1" xr3:uid="{FD09D3AA-74D0-4D46-946E-658C55D19ED9}" name="NAME"/>
    <tableColumn id="2" xr3:uid="{148CA1DB-9C57-456E-96B2-8A70240AA97B}" name="TEAM"/>
    <tableColumn id="3" xr3:uid="{576169A8-C127-4E62-A094-FB7116BED2A9}" name="STAR"/>
    <tableColumn id="4" xr3:uid="{36FD7731-05A0-43F3-AFE9-107AD560B763}" name="POINTS"/>
    <tableColumn id="5" xr3:uid="{CCA4969B-C020-4FE2-B758-D8370844AEF4}" name="VALUE"/>
    <tableColumn id="6" xr3:uid="{66A1179A-5847-44B9-9257-4280E525F32E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3AEA92-9722-4940-B547-0929E0E31DA4}" name="Table8" displayName="Table8" ref="A1:F6" totalsRowShown="0" headerRowDxfId="22" headerRowBorderDxfId="21" tableBorderDxfId="20">
  <autoFilter ref="A1:F6" xr:uid="{483AEA92-9722-4940-B547-0929E0E31DA4}"/>
  <tableColumns count="6">
    <tableColumn id="1" xr3:uid="{99A9D485-CB05-4460-975F-01CABC2DEB56}" name="NAME"/>
    <tableColumn id="2" xr3:uid="{E4FFF2A4-E0B2-43BA-86B7-D31107034DDF}" name="TEAM"/>
    <tableColumn id="3" xr3:uid="{920C9FEF-B10E-4333-B864-7C3C191F5C55}" name="STAR"/>
    <tableColumn id="4" xr3:uid="{115B9EAA-5B41-49BB-896D-CD43C584C1A2}" name="POINTS"/>
    <tableColumn id="5" xr3:uid="{9073586B-E4D3-4081-8FBE-77F6B9EDDB6E}" name="VALUE"/>
    <tableColumn id="6" xr3:uid="{506DDDDE-1A73-4D62-9C5F-876C89D52423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99AAF60-E83B-4606-BCA7-4737DADC6A8A}" name="Table9" displayName="Table9" ref="A1:F7" totalsRowShown="0" headerRowDxfId="19" headerRowBorderDxfId="18" tableBorderDxfId="17">
  <autoFilter ref="A1:F7" xr:uid="{199AAF60-E83B-4606-BCA7-4737DADC6A8A}"/>
  <tableColumns count="6">
    <tableColumn id="1" xr3:uid="{10C87924-32B7-41D9-9379-B8305E07702A}" name="NAME"/>
    <tableColumn id="2" xr3:uid="{BA15359F-D303-4E44-A398-D6B32776FF61}" name="TEAM"/>
    <tableColumn id="3" xr3:uid="{B4868967-B7A7-4659-BFCA-D944AB8B191C}" name="STAR"/>
    <tableColumn id="4" xr3:uid="{AC00DF77-D3E6-46F7-BF95-01A00912B70D}" name="POINTS"/>
    <tableColumn id="5" xr3:uid="{547E1AF3-084A-4A5F-988D-93BCF7B9C576}" name="VALUE"/>
    <tableColumn id="6" xr3:uid="{E239F133-5CA5-4FE1-B145-3DEC41719F54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284C41-BBF9-4110-825D-7D92A69122D1}" name="Table10" displayName="Table10" ref="A1:F7" totalsRowShown="0" headerRowDxfId="16" headerRowBorderDxfId="15" tableBorderDxfId="14">
  <autoFilter ref="A1:F7" xr:uid="{72284C41-BBF9-4110-825D-7D92A69122D1}"/>
  <tableColumns count="6">
    <tableColumn id="1" xr3:uid="{83566411-4910-40C3-B707-2ECCE3552E27}" name="NAME"/>
    <tableColumn id="2" xr3:uid="{6C702916-0F35-4C93-9909-364865C98F9D}" name="TEAM"/>
    <tableColumn id="3" xr3:uid="{87B41427-C87D-4689-B3C5-67DB590784C4}" name="STAR"/>
    <tableColumn id="4" xr3:uid="{B56E5AC6-3024-4B25-AA81-3280B5636186}" name="POINTS"/>
    <tableColumn id="5" xr3:uid="{D2FFC5F8-C4D9-4B1E-AF66-6F7DEA3DF428}" name="VALUE"/>
    <tableColumn id="6" xr3:uid="{778FB3F3-DDA8-474C-9205-80CE9787CE28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81D199-58ED-48ED-B8CC-B4D136652339}" name="Table11" displayName="Table11" ref="A1:F7" totalsRowShown="0" headerRowDxfId="13" headerRowBorderDxfId="12" tableBorderDxfId="11">
  <autoFilter ref="A1:F7" xr:uid="{AF81D199-58ED-48ED-B8CC-B4D136652339}"/>
  <tableColumns count="6">
    <tableColumn id="1" xr3:uid="{4B2A6B68-35BA-4321-B424-716F745C5419}" name="NAME"/>
    <tableColumn id="2" xr3:uid="{C01536C6-DF3D-414E-A45D-ECC9EB5A8A16}" name="TEAM"/>
    <tableColumn id="3" xr3:uid="{8AEA8E1E-7AA0-420B-95F0-D783ACD173F3}" name="STAR"/>
    <tableColumn id="4" xr3:uid="{3A0C4833-BA40-4773-A6D1-2B0D038F3050}" name="POINTS"/>
    <tableColumn id="5" xr3:uid="{3EE650A1-3FBA-4B12-8081-4301A2AA570C}" name="VALUE"/>
    <tableColumn id="6" xr3:uid="{5FB477B9-F9C0-45AE-980C-E10D424FBE99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2B403DD-6386-4682-B0B2-54B0E4D0353E}" name="Table12" displayName="Table12" ref="A1:F6" totalsRowShown="0" headerRowDxfId="10" headerRowBorderDxfId="9" tableBorderDxfId="8">
  <autoFilter ref="A1:F6" xr:uid="{A2B403DD-6386-4682-B0B2-54B0E4D0353E}"/>
  <tableColumns count="6">
    <tableColumn id="1" xr3:uid="{6FB814D5-1321-4583-88D7-5AF671BE03EA}" name="NAME"/>
    <tableColumn id="2" xr3:uid="{E9B3A99D-3147-48F3-A0A9-8FF60A23FE70}" name="TEAM"/>
    <tableColumn id="3" xr3:uid="{A840779C-EBC9-468B-9BB1-B9BFEA078DCA}" name="STAR"/>
    <tableColumn id="4" xr3:uid="{67352E0C-92DD-4659-B4FC-F1E05B3A86D0}" name="POINTS"/>
    <tableColumn id="5" xr3:uid="{64E39E31-9135-4F6B-AAAC-ADC8CD253D2D}" name="VALUE"/>
    <tableColumn id="6" xr3:uid="{DCF2CDEB-BBF3-4D0D-BFFF-038F510361EF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D92D2E-9AB3-4C68-8C94-1BD84D78C85C}" name="Table13" displayName="Table13" ref="A1:F7" totalsRowShown="0" headerRowDxfId="7">
  <autoFilter ref="A1:F7" xr:uid="{5BD92D2E-9AB3-4C68-8C94-1BD84D78C85C}"/>
  <tableColumns count="6">
    <tableColumn id="1" xr3:uid="{305E8B28-3B09-4484-B06F-A50932874DFB}" name="NAME"/>
    <tableColumn id="2" xr3:uid="{93C6723C-0E36-45A9-AAB9-FD5DC103E9E4}" name="TEAM"/>
    <tableColumn id="3" xr3:uid="{DF645FD0-8EE4-4570-8F79-386F6302E0CB}" name="STAR"/>
    <tableColumn id="4" xr3:uid="{BA47F8A8-DFF9-4F82-BA99-1CF20A031662}" name="POINTS"/>
    <tableColumn id="5" xr3:uid="{9547093D-48F9-43B4-AB4E-5B15546A89BD}" name="VALUE"/>
    <tableColumn id="6" xr3:uid="{1D10C11E-EF0A-4DEB-97DA-C1974916EDE2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DC6BCF-062B-4E0E-AD47-944B435D196E}" name="Table14" displayName="Table14" ref="A1:F7" totalsRowShown="0" headerRowDxfId="6" headerRowBorderDxfId="5" tableBorderDxfId="4">
  <autoFilter ref="A1:F7" xr:uid="{80DC6BCF-062B-4E0E-AD47-944B435D196E}"/>
  <tableColumns count="6">
    <tableColumn id="1" xr3:uid="{8A371A20-5CF8-43AC-A7D3-D61839796E21}" name="NAME"/>
    <tableColumn id="2" xr3:uid="{A5E7B0F7-327F-489C-A912-914EE86F8E93}" name="TEAM"/>
    <tableColumn id="3" xr3:uid="{36D3E8BA-95DC-48B7-9BA3-7D9E066F1BF7}" name="STAR"/>
    <tableColumn id="4" xr3:uid="{9822AC94-EFCF-456D-92F0-2672F9C78799}" name="POINTS"/>
    <tableColumn id="5" xr3:uid="{A0D26B6D-F6E0-4D6E-800E-6B6BF0C5180C}" name="VALUE"/>
    <tableColumn id="6" xr3:uid="{D03078D1-CE31-4BE1-BFD5-8B2EB20E15E9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0B880-3225-4D86-9125-0B7216E92765}" name="Table1" displayName="Table1" ref="A1:F7" totalsRowShown="0" headerRowDxfId="3" headerRowBorderDxfId="2">
  <autoFilter ref="A1:F7" xr:uid="{E7D0B880-3225-4D86-9125-0B7216E92765}"/>
  <sortState xmlns:xlrd2="http://schemas.microsoft.com/office/spreadsheetml/2017/richdata2" ref="A2:E7">
    <sortCondition descending="1" ref="E1:E7"/>
  </sortState>
  <tableColumns count="6">
    <tableColumn id="1" xr3:uid="{5692AA23-09E2-4884-9B3F-F6DC64642B89}" name="NAME"/>
    <tableColumn id="2" xr3:uid="{32EB6912-946B-4C8D-AA6B-1F06F862045A}" name="TEAM"/>
    <tableColumn id="3" xr3:uid="{2DD8E850-4A3C-4DD0-AC3D-8330D6505CF8}" name="STAR"/>
    <tableColumn id="4" xr3:uid="{D910F993-F989-4E59-A210-028A5A3E593D}" name="POINTS"/>
    <tableColumn id="5" xr3:uid="{16477AE4-39A8-4363-94E9-0C849C60E65F}" name="VALUE"/>
    <tableColumn id="6" xr3:uid="{BCD581F3-5854-4844-A1F4-64A1A750678D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826B55-F93B-48C1-B890-5B7CD43C266C}" name="Table15" displayName="Table15" ref="A1:F6" totalsRowShown="0" headerRowDxfId="1" headerRowBorderDxfId="0">
  <autoFilter ref="A1:F6" xr:uid="{1C826B55-F93B-48C1-B890-5B7CD43C266C}"/>
  <sortState xmlns:xlrd2="http://schemas.microsoft.com/office/spreadsheetml/2017/richdata2" ref="A2:E6">
    <sortCondition descending="1" ref="E1:E6"/>
  </sortState>
  <tableColumns count="6">
    <tableColumn id="1" xr3:uid="{5042181A-BAED-4BF5-B122-E19E6C32A49A}" name="NAME"/>
    <tableColumn id="2" xr3:uid="{AD8ED0C4-D4F3-4A62-8FED-63D9EB2170D9}" name="TEAM"/>
    <tableColumn id="3" xr3:uid="{90BE03B0-A12C-432D-BD9A-E7D83818483E}" name="STAR"/>
    <tableColumn id="4" xr3:uid="{ED1EAB1E-DB95-44DB-B5C4-F8529DEC9465}" name="POINTS"/>
    <tableColumn id="5" xr3:uid="{7DEA3710-F818-4876-8198-3A6D8A56AE3C}" name="VALUE"/>
    <tableColumn id="6" xr3:uid="{CA1EDB2C-EE77-4626-B5A2-4AE73339A26A}" name="SALARY PER MATCH">
      <calculatedColumnFormula>(C2/100)*(E2/10)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4250-E61E-401D-9E6E-7936A9F3D950}">
  <dimension ref="A1:F8"/>
  <sheetViews>
    <sheetView workbookViewId="0">
      <selection activeCell="F7" sqref="F7"/>
    </sheetView>
  </sheetViews>
  <sheetFormatPr defaultColWidth="36.26953125" defaultRowHeight="14.5" x14ac:dyDescent="0.35"/>
  <cols>
    <col min="1" max="1" width="15.26953125" bestFit="1" customWidth="1"/>
    <col min="2" max="2" width="10.9062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9" t="s">
        <v>92</v>
      </c>
    </row>
    <row r="2" spans="1:6" x14ac:dyDescent="0.35">
      <c r="A2" s="1" t="s">
        <v>0</v>
      </c>
      <c r="B2" s="1" t="s">
        <v>1</v>
      </c>
      <c r="C2" s="1">
        <v>6</v>
      </c>
      <c r="D2" s="1">
        <v>185</v>
      </c>
      <c r="E2" s="1">
        <v>300</v>
      </c>
      <c r="F2">
        <f>(C2/100)*(E2/10)</f>
        <v>1.7999999999999998</v>
      </c>
    </row>
    <row r="3" spans="1:6" x14ac:dyDescent="0.35">
      <c r="A3" s="2" t="s">
        <v>2</v>
      </c>
      <c r="B3" s="2" t="s">
        <v>1</v>
      </c>
      <c r="C3" s="2">
        <v>6</v>
      </c>
      <c r="D3" s="2">
        <v>189</v>
      </c>
      <c r="E3" s="2">
        <v>200</v>
      </c>
      <c r="F3">
        <f t="shared" ref="F3:F6" si="0">(C3/100)*(E3/10)</f>
        <v>1.2</v>
      </c>
    </row>
    <row r="4" spans="1:6" x14ac:dyDescent="0.35">
      <c r="A4" s="1" t="s">
        <v>3</v>
      </c>
      <c r="B4" s="1" t="s">
        <v>1</v>
      </c>
      <c r="C4" s="1">
        <v>5</v>
      </c>
      <c r="D4" s="1">
        <v>159</v>
      </c>
      <c r="E4" s="1">
        <v>170</v>
      </c>
      <c r="F4">
        <f t="shared" si="0"/>
        <v>0.85000000000000009</v>
      </c>
    </row>
    <row r="5" spans="1:6" x14ac:dyDescent="0.35">
      <c r="A5" s="2" t="s">
        <v>4</v>
      </c>
      <c r="B5" s="2" t="s">
        <v>1</v>
      </c>
      <c r="C5" s="2">
        <v>5</v>
      </c>
      <c r="D5" s="2">
        <v>155</v>
      </c>
      <c r="E5" s="2">
        <v>150</v>
      </c>
      <c r="F5">
        <f t="shared" si="0"/>
        <v>0.75</v>
      </c>
    </row>
    <row r="6" spans="1:6" x14ac:dyDescent="0.35">
      <c r="A6" s="3" t="s">
        <v>5</v>
      </c>
      <c r="B6" s="3" t="s">
        <v>1</v>
      </c>
      <c r="C6" s="3">
        <v>3</v>
      </c>
      <c r="D6" s="3">
        <v>104</v>
      </c>
      <c r="E6" s="3">
        <v>60</v>
      </c>
      <c r="F6">
        <f t="shared" si="0"/>
        <v>0.18</v>
      </c>
    </row>
    <row r="7" spans="1:6" x14ac:dyDescent="0.35">
      <c r="D7" t="s">
        <v>86</v>
      </c>
      <c r="E7">
        <f>SUM(E2:E6)</f>
        <v>880</v>
      </c>
    </row>
    <row r="8" spans="1:6" x14ac:dyDescent="0.35">
      <c r="D8" t="s">
        <v>85</v>
      </c>
      <c r="E8">
        <f>1000-E7</f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A5B3-8FB9-4052-A50C-DA1A6841B044}">
  <dimension ref="A1:F9"/>
  <sheetViews>
    <sheetView workbookViewId="0">
      <selection activeCell="G5" sqref="G5"/>
    </sheetView>
  </sheetViews>
  <sheetFormatPr defaultColWidth="52.36328125" defaultRowHeight="14.5" x14ac:dyDescent="0.35"/>
  <cols>
    <col min="1" max="1" width="13.08984375" bestFit="1" customWidth="1"/>
    <col min="2" max="2" width="11.632812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1" t="s">
        <v>6</v>
      </c>
      <c r="B2" s="1" t="s">
        <v>7</v>
      </c>
      <c r="C2" s="1">
        <v>6</v>
      </c>
      <c r="D2" s="1">
        <v>206</v>
      </c>
      <c r="E2" s="1">
        <v>285</v>
      </c>
      <c r="F2" s="11">
        <f>(C2/100)*(E2/10)</f>
        <v>1.71</v>
      </c>
    </row>
    <row r="3" spans="1:6" x14ac:dyDescent="0.35">
      <c r="A3" s="2" t="s">
        <v>8</v>
      </c>
      <c r="B3" s="2" t="s">
        <v>7</v>
      </c>
      <c r="C3" s="2">
        <v>6</v>
      </c>
      <c r="D3" s="2">
        <v>186</v>
      </c>
      <c r="E3" s="2">
        <v>185</v>
      </c>
      <c r="F3" s="12">
        <f t="shared" ref="F3:F7" si="0">(C3/100)*(E3/10)</f>
        <v>1.1099999999999999</v>
      </c>
    </row>
    <row r="4" spans="1:6" x14ac:dyDescent="0.35">
      <c r="A4" s="1" t="s">
        <v>9</v>
      </c>
      <c r="B4" s="1" t="s">
        <v>7</v>
      </c>
      <c r="C4" s="1">
        <v>5</v>
      </c>
      <c r="D4" s="1">
        <v>146</v>
      </c>
      <c r="E4" s="1">
        <v>105</v>
      </c>
      <c r="F4" s="11">
        <f t="shared" si="0"/>
        <v>0.52500000000000002</v>
      </c>
    </row>
    <row r="5" spans="1:6" x14ac:dyDescent="0.35">
      <c r="A5" s="2" t="s">
        <v>10</v>
      </c>
      <c r="B5" s="2" t="s">
        <v>7</v>
      </c>
      <c r="C5" s="2">
        <v>4</v>
      </c>
      <c r="D5" s="2">
        <v>130</v>
      </c>
      <c r="E5" s="2">
        <v>120</v>
      </c>
      <c r="F5" s="12">
        <f t="shared" si="0"/>
        <v>0.48</v>
      </c>
    </row>
    <row r="6" spans="1:6" x14ac:dyDescent="0.35">
      <c r="A6" s="1" t="s">
        <v>11</v>
      </c>
      <c r="B6" s="1" t="s">
        <v>7</v>
      </c>
      <c r="C6" s="1">
        <v>3</v>
      </c>
      <c r="D6" s="1">
        <v>106</v>
      </c>
      <c r="E6" s="1">
        <v>70</v>
      </c>
      <c r="F6" s="11">
        <f t="shared" si="0"/>
        <v>0.21</v>
      </c>
    </row>
    <row r="7" spans="1:6" x14ac:dyDescent="0.35">
      <c r="A7" s="3" t="s">
        <v>12</v>
      </c>
      <c r="B7" s="3" t="s">
        <v>7</v>
      </c>
      <c r="C7" s="3">
        <v>4</v>
      </c>
      <c r="D7" s="3">
        <v>127</v>
      </c>
      <c r="E7" s="3">
        <v>105</v>
      </c>
      <c r="F7" s="12">
        <f t="shared" si="0"/>
        <v>0.42</v>
      </c>
    </row>
    <row r="8" spans="1:6" x14ac:dyDescent="0.35">
      <c r="D8" t="s">
        <v>86</v>
      </c>
      <c r="E8">
        <f>SUM(E2:E7)</f>
        <v>870</v>
      </c>
    </row>
    <row r="9" spans="1:6" x14ac:dyDescent="0.35">
      <c r="D9" t="s">
        <v>85</v>
      </c>
      <c r="E9">
        <f>1000-E8</f>
        <v>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F58D-BA24-4A43-8716-35391F9D3C80}">
  <dimension ref="A1:F8"/>
  <sheetViews>
    <sheetView workbookViewId="0">
      <selection activeCell="F2" sqref="F2:F6"/>
    </sheetView>
  </sheetViews>
  <sheetFormatPr defaultColWidth="65.08984375" defaultRowHeight="14.5" x14ac:dyDescent="0.35"/>
  <cols>
    <col min="1" max="1" width="14.54296875" bestFit="1" customWidth="1"/>
    <col min="2" max="2" width="7.9062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3" t="s">
        <v>13</v>
      </c>
      <c r="B2" s="3" t="s">
        <v>14</v>
      </c>
      <c r="C2" s="3">
        <v>3</v>
      </c>
      <c r="D2" s="3">
        <v>104</v>
      </c>
      <c r="E2" s="3">
        <v>60</v>
      </c>
      <c r="F2">
        <f>(C2/100)*(E2/10)</f>
        <v>0.18</v>
      </c>
    </row>
    <row r="3" spans="1:6" x14ac:dyDescent="0.35">
      <c r="A3" s="2" t="s">
        <v>15</v>
      </c>
      <c r="B3" s="2" t="s">
        <v>14</v>
      </c>
      <c r="C3" s="2">
        <v>7</v>
      </c>
      <c r="D3" s="2">
        <v>216</v>
      </c>
      <c r="E3" s="2">
        <v>335</v>
      </c>
      <c r="F3">
        <f t="shared" ref="F3:F6" si="0">(C3/100)*(E3/10)</f>
        <v>2.3450000000000002</v>
      </c>
    </row>
    <row r="4" spans="1:6" x14ac:dyDescent="0.35">
      <c r="A4" s="1" t="s">
        <v>16</v>
      </c>
      <c r="B4" s="1" t="s">
        <v>14</v>
      </c>
      <c r="C4" s="1">
        <v>6</v>
      </c>
      <c r="D4" s="1">
        <v>189</v>
      </c>
      <c r="E4" s="1">
        <v>200</v>
      </c>
      <c r="F4">
        <f t="shared" si="0"/>
        <v>1.2</v>
      </c>
    </row>
    <row r="5" spans="1:6" x14ac:dyDescent="0.35">
      <c r="A5" s="2" t="s">
        <v>17</v>
      </c>
      <c r="B5" s="2" t="s">
        <v>14</v>
      </c>
      <c r="C5" s="2">
        <v>5</v>
      </c>
      <c r="D5" s="2">
        <v>161</v>
      </c>
      <c r="E5" s="2">
        <v>180</v>
      </c>
      <c r="F5">
        <f t="shared" si="0"/>
        <v>0.9</v>
      </c>
    </row>
    <row r="6" spans="1:6" x14ac:dyDescent="0.35">
      <c r="A6" s="1" t="s">
        <v>18</v>
      </c>
      <c r="B6" s="1" t="s">
        <v>14</v>
      </c>
      <c r="C6" s="1">
        <v>5</v>
      </c>
      <c r="D6" s="1">
        <v>153</v>
      </c>
      <c r="E6" s="1">
        <v>140</v>
      </c>
      <c r="F6">
        <f t="shared" si="0"/>
        <v>0.70000000000000007</v>
      </c>
    </row>
    <row r="7" spans="1:6" x14ac:dyDescent="0.35">
      <c r="D7" t="s">
        <v>86</v>
      </c>
      <c r="E7">
        <f>SUM(E2:E6)</f>
        <v>915</v>
      </c>
    </row>
    <row r="8" spans="1:6" x14ac:dyDescent="0.35">
      <c r="D8" t="s">
        <v>85</v>
      </c>
      <c r="E8">
        <f>1000-E7</f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7BBB-17C4-4173-BC66-1DA6205F8A2C}">
  <dimension ref="A1:F8"/>
  <sheetViews>
    <sheetView workbookViewId="0">
      <selection activeCell="F2" sqref="A1:XFD1048576"/>
    </sheetView>
  </sheetViews>
  <sheetFormatPr defaultColWidth="41.90625" defaultRowHeight="14.5" x14ac:dyDescent="0.35"/>
  <cols>
    <col min="1" max="1" width="16.81640625" bestFit="1" customWidth="1"/>
    <col min="2" max="2" width="7.5429687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2" t="s">
        <v>19</v>
      </c>
      <c r="B2" s="2" t="s">
        <v>20</v>
      </c>
      <c r="C2" s="2">
        <v>6</v>
      </c>
      <c r="D2" s="2">
        <v>186</v>
      </c>
      <c r="E2" s="2">
        <v>185</v>
      </c>
      <c r="F2">
        <f>(C2/100)*(E2/10)</f>
        <v>1.1099999999999999</v>
      </c>
    </row>
    <row r="3" spans="1:6" x14ac:dyDescent="0.35">
      <c r="A3" s="1" t="s">
        <v>21</v>
      </c>
      <c r="B3" s="1" t="s">
        <v>20</v>
      </c>
      <c r="C3" s="1">
        <v>6</v>
      </c>
      <c r="D3" s="1">
        <v>184</v>
      </c>
      <c r="E3" s="1">
        <v>175</v>
      </c>
      <c r="F3">
        <f t="shared" ref="F3:F6" si="0">(C3/100)*(E3/10)</f>
        <v>1.05</v>
      </c>
    </row>
    <row r="4" spans="1:6" x14ac:dyDescent="0.35">
      <c r="A4" s="2" t="s">
        <v>22</v>
      </c>
      <c r="B4" s="2" t="s">
        <v>20</v>
      </c>
      <c r="C4" s="2">
        <v>5</v>
      </c>
      <c r="D4" s="2">
        <v>164</v>
      </c>
      <c r="E4" s="2">
        <v>195</v>
      </c>
      <c r="F4">
        <f t="shared" si="0"/>
        <v>0.97500000000000009</v>
      </c>
    </row>
    <row r="5" spans="1:6" x14ac:dyDescent="0.35">
      <c r="A5" s="1" t="s">
        <v>23</v>
      </c>
      <c r="B5" s="1" t="s">
        <v>20</v>
      </c>
      <c r="C5" s="1">
        <v>3</v>
      </c>
      <c r="D5" s="1">
        <v>107</v>
      </c>
      <c r="E5" s="1">
        <v>75</v>
      </c>
      <c r="F5">
        <f t="shared" si="0"/>
        <v>0.22499999999999998</v>
      </c>
    </row>
    <row r="6" spans="1:6" x14ac:dyDescent="0.35">
      <c r="A6" s="3" t="s">
        <v>24</v>
      </c>
      <c r="B6" s="3" t="s">
        <v>20</v>
      </c>
      <c r="C6" s="3">
        <v>4</v>
      </c>
      <c r="D6" s="3">
        <v>127</v>
      </c>
      <c r="E6" s="3">
        <v>105</v>
      </c>
      <c r="F6">
        <f t="shared" si="0"/>
        <v>0.42</v>
      </c>
    </row>
    <row r="7" spans="1:6" x14ac:dyDescent="0.35">
      <c r="D7" t="s">
        <v>86</v>
      </c>
      <c r="E7">
        <f>SUM(E2:E6)</f>
        <v>735</v>
      </c>
    </row>
    <row r="8" spans="1:6" x14ac:dyDescent="0.35">
      <c r="D8" t="s">
        <v>85</v>
      </c>
      <c r="E8">
        <f>1000-E7</f>
        <v>265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A16B-C245-4B35-B8BE-E8448E152729}">
  <dimension ref="A1:F8"/>
  <sheetViews>
    <sheetView workbookViewId="0">
      <selection activeCell="F2" sqref="A1:XFD1048576"/>
    </sheetView>
  </sheetViews>
  <sheetFormatPr defaultColWidth="32.7265625" defaultRowHeight="14.5" x14ac:dyDescent="0.35"/>
  <cols>
    <col min="1" max="1" width="11.1796875" bestFit="1" customWidth="1"/>
    <col min="2" max="2" width="14.5429687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3" t="s">
        <v>25</v>
      </c>
      <c r="B2" s="3" t="s">
        <v>26</v>
      </c>
      <c r="C2" s="3">
        <v>3</v>
      </c>
      <c r="D2" s="3">
        <v>104</v>
      </c>
      <c r="E2" s="3">
        <v>60</v>
      </c>
      <c r="F2">
        <f>(C2/100)*(E2/10)</f>
        <v>0.18</v>
      </c>
    </row>
    <row r="3" spans="1:6" x14ac:dyDescent="0.35">
      <c r="A3" s="2" t="s">
        <v>27</v>
      </c>
      <c r="B3" s="2" t="s">
        <v>26</v>
      </c>
      <c r="C3" s="2">
        <v>4</v>
      </c>
      <c r="D3" s="2">
        <v>159</v>
      </c>
      <c r="E3" s="2">
        <v>265</v>
      </c>
      <c r="F3">
        <f t="shared" ref="F3:F6" si="0">(C3/100)*(E3/10)</f>
        <v>1.06</v>
      </c>
    </row>
    <row r="4" spans="1:6" x14ac:dyDescent="0.35">
      <c r="A4" s="1" t="s">
        <v>28</v>
      </c>
      <c r="B4" s="1" t="s">
        <v>26</v>
      </c>
      <c r="C4" s="1">
        <v>5</v>
      </c>
      <c r="D4" s="1">
        <v>163</v>
      </c>
      <c r="E4" s="1">
        <v>190</v>
      </c>
      <c r="F4">
        <f t="shared" si="0"/>
        <v>0.95000000000000007</v>
      </c>
    </row>
    <row r="5" spans="1:6" x14ac:dyDescent="0.35">
      <c r="A5" s="2" t="s">
        <v>29</v>
      </c>
      <c r="B5" s="2" t="s">
        <v>26</v>
      </c>
      <c r="C5" s="2">
        <v>5</v>
      </c>
      <c r="D5" s="2">
        <v>160</v>
      </c>
      <c r="E5" s="2">
        <v>175</v>
      </c>
      <c r="F5">
        <f t="shared" si="0"/>
        <v>0.875</v>
      </c>
    </row>
    <row r="6" spans="1:6" x14ac:dyDescent="0.35">
      <c r="A6" s="1" t="s">
        <v>30</v>
      </c>
      <c r="B6" s="1" t="s">
        <v>26</v>
      </c>
      <c r="C6" s="1">
        <v>3</v>
      </c>
      <c r="D6" s="1">
        <v>109</v>
      </c>
      <c r="E6" s="1">
        <v>85</v>
      </c>
      <c r="F6">
        <f t="shared" si="0"/>
        <v>0.255</v>
      </c>
    </row>
    <row r="7" spans="1:6" x14ac:dyDescent="0.35">
      <c r="D7" t="s">
        <v>86</v>
      </c>
      <c r="E7">
        <f>SUM(E2:E6)</f>
        <v>775</v>
      </c>
    </row>
    <row r="8" spans="1:6" x14ac:dyDescent="0.35">
      <c r="D8" t="s">
        <v>85</v>
      </c>
      <c r="E8">
        <f>1000-E7</f>
        <v>225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D1CC-DFAF-4844-9058-1E613A97ADBC}">
  <dimension ref="A1:F8"/>
  <sheetViews>
    <sheetView workbookViewId="0">
      <selection activeCell="F2" sqref="A1:XFD1048576"/>
    </sheetView>
  </sheetViews>
  <sheetFormatPr defaultColWidth="41.36328125" defaultRowHeight="14.5" x14ac:dyDescent="0.35"/>
  <cols>
    <col min="1" max="1" width="18.90625" bestFit="1" customWidth="1"/>
    <col min="2" max="2" width="10.179687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2" t="s">
        <v>31</v>
      </c>
      <c r="B2" s="2" t="s">
        <v>32</v>
      </c>
      <c r="C2" s="2">
        <v>6</v>
      </c>
      <c r="D2" s="2">
        <v>198</v>
      </c>
      <c r="E2" s="2">
        <v>245</v>
      </c>
      <c r="F2">
        <f>(C2/100)*(E2/10)</f>
        <v>1.47</v>
      </c>
    </row>
    <row r="3" spans="1:6" x14ac:dyDescent="0.35">
      <c r="A3" s="1" t="s">
        <v>33</v>
      </c>
      <c r="B3" s="1" t="s">
        <v>32</v>
      </c>
      <c r="C3" s="1">
        <v>6</v>
      </c>
      <c r="D3" s="1">
        <v>185</v>
      </c>
      <c r="E3" s="1">
        <v>180</v>
      </c>
      <c r="F3">
        <f t="shared" ref="F3:F6" si="0">(C3/100)*(E3/10)</f>
        <v>1.08</v>
      </c>
    </row>
    <row r="4" spans="1:6" x14ac:dyDescent="0.35">
      <c r="A4" s="2" t="s">
        <v>34</v>
      </c>
      <c r="B4" s="2" t="s">
        <v>32</v>
      </c>
      <c r="C4" s="2">
        <v>6</v>
      </c>
      <c r="D4" s="2">
        <v>183</v>
      </c>
      <c r="E4" s="2">
        <v>170</v>
      </c>
      <c r="F4">
        <f t="shared" si="0"/>
        <v>1.02</v>
      </c>
    </row>
    <row r="5" spans="1:6" x14ac:dyDescent="0.35">
      <c r="A5" s="1" t="s">
        <v>35</v>
      </c>
      <c r="B5" s="1" t="s">
        <v>32</v>
      </c>
      <c r="C5" s="1">
        <v>4</v>
      </c>
      <c r="D5" s="1">
        <v>124</v>
      </c>
      <c r="E5" s="1">
        <v>90</v>
      </c>
      <c r="F5">
        <f t="shared" si="0"/>
        <v>0.36</v>
      </c>
    </row>
    <row r="6" spans="1:6" x14ac:dyDescent="0.35">
      <c r="A6" s="3" t="s">
        <v>36</v>
      </c>
      <c r="B6" s="3" t="s">
        <v>32</v>
      </c>
      <c r="C6" s="3">
        <v>6</v>
      </c>
      <c r="D6" s="3">
        <v>188</v>
      </c>
      <c r="E6" s="3">
        <v>195</v>
      </c>
      <c r="F6">
        <f t="shared" si="0"/>
        <v>1.17</v>
      </c>
    </row>
    <row r="7" spans="1:6" x14ac:dyDescent="0.35">
      <c r="D7" t="s">
        <v>86</v>
      </c>
      <c r="E7">
        <f>SUM(E2:E6)</f>
        <v>880</v>
      </c>
    </row>
    <row r="8" spans="1:6" x14ac:dyDescent="0.35">
      <c r="D8" t="s">
        <v>85</v>
      </c>
      <c r="E8">
        <f>1000-E7</f>
        <v>120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E57A-4937-459D-8FEF-C5B000529D21}">
  <dimension ref="A1:F9"/>
  <sheetViews>
    <sheetView workbookViewId="0">
      <selection activeCell="F2" sqref="A1:XFD1048576"/>
    </sheetView>
  </sheetViews>
  <sheetFormatPr defaultColWidth="25.6328125" defaultRowHeight="14.5" x14ac:dyDescent="0.35"/>
  <cols>
    <col min="1" max="1" width="13.36328125" bestFit="1" customWidth="1"/>
    <col min="2" max="2" width="10.45312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2" t="s">
        <v>37</v>
      </c>
      <c r="B2" s="2" t="s">
        <v>38</v>
      </c>
      <c r="C2" s="2">
        <v>6</v>
      </c>
      <c r="D2" s="2">
        <v>191</v>
      </c>
      <c r="E2" s="2">
        <v>210</v>
      </c>
      <c r="F2">
        <f>(C2/100)*(E2/10)</f>
        <v>1.26</v>
      </c>
    </row>
    <row r="3" spans="1:6" x14ac:dyDescent="0.35">
      <c r="A3" s="1" t="s">
        <v>39</v>
      </c>
      <c r="B3" s="1" t="s">
        <v>38</v>
      </c>
      <c r="C3" s="1">
        <v>6</v>
      </c>
      <c r="D3" s="1">
        <v>183</v>
      </c>
      <c r="E3" s="1">
        <v>170</v>
      </c>
      <c r="F3">
        <f t="shared" ref="F3:F7" si="0">(C3/100)*(E3/10)</f>
        <v>1.02</v>
      </c>
    </row>
    <row r="4" spans="1:6" x14ac:dyDescent="0.35">
      <c r="A4" s="2" t="s">
        <v>40</v>
      </c>
      <c r="B4" s="2" t="s">
        <v>38</v>
      </c>
      <c r="C4" s="2">
        <v>5</v>
      </c>
      <c r="D4" s="2">
        <v>155</v>
      </c>
      <c r="E4" s="2">
        <v>150</v>
      </c>
      <c r="F4">
        <f t="shared" si="0"/>
        <v>0.75</v>
      </c>
    </row>
    <row r="5" spans="1:6" x14ac:dyDescent="0.35">
      <c r="A5" s="1" t="s">
        <v>41</v>
      </c>
      <c r="B5" s="1" t="s">
        <v>38</v>
      </c>
      <c r="C5" s="1">
        <v>5</v>
      </c>
      <c r="D5" s="1">
        <v>146</v>
      </c>
      <c r="E5" s="1">
        <v>105</v>
      </c>
      <c r="F5">
        <f t="shared" si="0"/>
        <v>0.52500000000000002</v>
      </c>
    </row>
    <row r="6" spans="1:6" x14ac:dyDescent="0.35">
      <c r="A6" s="2" t="s">
        <v>42</v>
      </c>
      <c r="B6" s="2" t="s">
        <v>38</v>
      </c>
      <c r="C6" s="2">
        <v>3</v>
      </c>
      <c r="D6" s="2">
        <v>102</v>
      </c>
      <c r="E6" s="2">
        <v>50</v>
      </c>
      <c r="F6">
        <f t="shared" si="0"/>
        <v>0.15</v>
      </c>
    </row>
    <row r="7" spans="1:6" x14ac:dyDescent="0.35">
      <c r="A7" s="3" t="s">
        <v>43</v>
      </c>
      <c r="B7" s="3" t="s">
        <v>38</v>
      </c>
      <c r="C7" s="3">
        <v>4</v>
      </c>
      <c r="D7" s="3">
        <v>127</v>
      </c>
      <c r="E7" s="3">
        <v>105</v>
      </c>
      <c r="F7">
        <f t="shared" si="0"/>
        <v>0.42</v>
      </c>
    </row>
    <row r="8" spans="1:6" x14ac:dyDescent="0.35">
      <c r="D8" t="s">
        <v>86</v>
      </c>
      <c r="E8">
        <f>SUM(E2:E7)</f>
        <v>790</v>
      </c>
    </row>
    <row r="9" spans="1:6" x14ac:dyDescent="0.35">
      <c r="D9" t="s">
        <v>85</v>
      </c>
      <c r="E9">
        <f>1000-E8</f>
        <v>210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426A-2C76-4E2C-83A2-6448A351A120}">
  <dimension ref="A1:F9"/>
  <sheetViews>
    <sheetView workbookViewId="0">
      <selection activeCell="F2" sqref="F2:F7"/>
    </sheetView>
  </sheetViews>
  <sheetFormatPr defaultColWidth="33.6328125" defaultRowHeight="14.5" x14ac:dyDescent="0.35"/>
  <cols>
    <col min="1" max="1" width="10.36328125" bestFit="1" customWidth="1"/>
    <col min="2" max="2" width="12.7265625" bestFit="1" customWidth="1"/>
    <col min="3" max="3" width="7.08984375" customWidth="1"/>
    <col min="4" max="4" width="11.6328125" bestFit="1" customWidth="1"/>
    <col min="5" max="5" width="8.1796875" customWidth="1"/>
    <col min="6" max="6" width="19.26953125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1" t="s">
        <v>44</v>
      </c>
      <c r="B2" s="1" t="s">
        <v>45</v>
      </c>
      <c r="C2" s="1">
        <v>6</v>
      </c>
      <c r="D2" s="1">
        <v>198</v>
      </c>
      <c r="E2" s="1">
        <v>245</v>
      </c>
      <c r="F2">
        <f>(C2/100)*(E2/10)</f>
        <v>1.47</v>
      </c>
    </row>
    <row r="3" spans="1:6" x14ac:dyDescent="0.35">
      <c r="A3" s="2" t="s">
        <v>46</v>
      </c>
      <c r="B3" s="2" t="s">
        <v>45</v>
      </c>
      <c r="C3" s="2">
        <v>5</v>
      </c>
      <c r="D3" s="2">
        <v>169</v>
      </c>
      <c r="E3" s="2">
        <v>220</v>
      </c>
      <c r="F3">
        <f t="shared" ref="F3:F7" si="0">(C3/100)*(E3/10)</f>
        <v>1.1000000000000001</v>
      </c>
    </row>
    <row r="4" spans="1:6" x14ac:dyDescent="0.35">
      <c r="A4" s="1" t="s">
        <v>47</v>
      </c>
      <c r="B4" s="1" t="s">
        <v>45</v>
      </c>
      <c r="C4" s="1">
        <v>5</v>
      </c>
      <c r="D4" s="1">
        <v>164</v>
      </c>
      <c r="E4" s="1">
        <v>195</v>
      </c>
      <c r="F4">
        <f t="shared" si="0"/>
        <v>0.97500000000000009</v>
      </c>
    </row>
    <row r="5" spans="1:6" x14ac:dyDescent="0.35">
      <c r="A5" s="2" t="s">
        <v>48</v>
      </c>
      <c r="B5" s="2" t="s">
        <v>45</v>
      </c>
      <c r="C5" s="2">
        <v>5</v>
      </c>
      <c r="D5" s="2">
        <v>150</v>
      </c>
      <c r="E5" s="2">
        <v>125</v>
      </c>
      <c r="F5">
        <f t="shared" si="0"/>
        <v>0.625</v>
      </c>
    </row>
    <row r="6" spans="1:6" x14ac:dyDescent="0.35">
      <c r="A6" s="1" t="s">
        <v>49</v>
      </c>
      <c r="B6" s="1" t="s">
        <v>45</v>
      </c>
      <c r="C6" s="1">
        <v>4</v>
      </c>
      <c r="D6" s="1">
        <v>123</v>
      </c>
      <c r="E6" s="1">
        <v>85</v>
      </c>
      <c r="F6">
        <f t="shared" si="0"/>
        <v>0.34</v>
      </c>
    </row>
    <row r="7" spans="1:6" x14ac:dyDescent="0.35">
      <c r="A7" s="3" t="s">
        <v>50</v>
      </c>
      <c r="B7" s="3" t="s">
        <v>45</v>
      </c>
      <c r="C7" s="3">
        <v>3</v>
      </c>
      <c r="D7" s="3">
        <v>104</v>
      </c>
      <c r="E7" s="3">
        <v>60</v>
      </c>
      <c r="F7">
        <f t="shared" si="0"/>
        <v>0.18</v>
      </c>
    </row>
    <row r="8" spans="1:6" x14ac:dyDescent="0.35">
      <c r="D8" t="s">
        <v>86</v>
      </c>
      <c r="E8">
        <f>SUM(E2:E7)</f>
        <v>930</v>
      </c>
    </row>
    <row r="9" spans="1:6" x14ac:dyDescent="0.35">
      <c r="D9" t="s">
        <v>85</v>
      </c>
      <c r="E9">
        <f>1000-E8</f>
        <v>70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A2A8-D022-474B-89C0-07C84D3D007E}">
  <dimension ref="A1:F9"/>
  <sheetViews>
    <sheetView workbookViewId="0">
      <selection activeCell="F2" sqref="F2:F7"/>
    </sheetView>
  </sheetViews>
  <sheetFormatPr defaultColWidth="58.08984375" defaultRowHeight="14.5" x14ac:dyDescent="0.35"/>
  <cols>
    <col min="1" max="1" width="11.1796875" bestFit="1" customWidth="1"/>
    <col min="2" max="2" width="16.2695312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2" t="s">
        <v>51</v>
      </c>
      <c r="B2" s="2" t="s">
        <v>52</v>
      </c>
      <c r="C2" s="2">
        <v>6</v>
      </c>
      <c r="D2" s="2">
        <v>201</v>
      </c>
      <c r="E2" s="2">
        <v>260</v>
      </c>
      <c r="F2">
        <f>(C2/100)*(E2/10)</f>
        <v>1.56</v>
      </c>
    </row>
    <row r="3" spans="1:6" x14ac:dyDescent="0.35">
      <c r="A3" s="1" t="s">
        <v>53</v>
      </c>
      <c r="B3" s="1" t="s">
        <v>52</v>
      </c>
      <c r="C3" s="1">
        <v>5</v>
      </c>
      <c r="D3" s="1">
        <v>157</v>
      </c>
      <c r="E3" s="1">
        <v>160</v>
      </c>
      <c r="F3">
        <f t="shared" ref="F3:F7" si="0">(C3/100)*(E3/10)</f>
        <v>0.8</v>
      </c>
    </row>
    <row r="4" spans="1:6" x14ac:dyDescent="0.35">
      <c r="A4" s="2" t="s">
        <v>54</v>
      </c>
      <c r="B4" s="2" t="s">
        <v>52</v>
      </c>
      <c r="C4" s="2">
        <v>4</v>
      </c>
      <c r="D4" s="2">
        <v>127</v>
      </c>
      <c r="E4" s="2">
        <v>105</v>
      </c>
      <c r="F4">
        <f t="shared" si="0"/>
        <v>0.42</v>
      </c>
    </row>
    <row r="5" spans="1:6" x14ac:dyDescent="0.35">
      <c r="A5" s="1" t="s">
        <v>55</v>
      </c>
      <c r="B5" s="1" t="s">
        <v>52</v>
      </c>
      <c r="C5" s="1">
        <v>3</v>
      </c>
      <c r="D5" s="1">
        <v>100</v>
      </c>
      <c r="E5" s="1">
        <v>40</v>
      </c>
      <c r="F5">
        <f t="shared" si="0"/>
        <v>0.12</v>
      </c>
    </row>
    <row r="6" spans="1:6" x14ac:dyDescent="0.35">
      <c r="A6" s="3" t="s">
        <v>56</v>
      </c>
      <c r="B6" s="3" t="s">
        <v>52</v>
      </c>
      <c r="C6" s="3">
        <v>5</v>
      </c>
      <c r="D6" s="3">
        <v>170</v>
      </c>
      <c r="E6" s="3">
        <v>225</v>
      </c>
      <c r="F6">
        <f t="shared" si="0"/>
        <v>1.125</v>
      </c>
    </row>
    <row r="7" spans="1:6" x14ac:dyDescent="0.35">
      <c r="A7" s="3" t="s">
        <v>57</v>
      </c>
      <c r="B7" s="3" t="s">
        <v>52</v>
      </c>
      <c r="C7" s="3">
        <v>4</v>
      </c>
      <c r="D7" s="3">
        <v>120</v>
      </c>
      <c r="E7" s="3">
        <v>70</v>
      </c>
      <c r="F7">
        <f t="shared" si="0"/>
        <v>0.28000000000000003</v>
      </c>
    </row>
    <row r="8" spans="1:6" x14ac:dyDescent="0.35">
      <c r="D8" t="s">
        <v>86</v>
      </c>
      <c r="E8">
        <f>SUM(E2:E7)</f>
        <v>860</v>
      </c>
    </row>
    <row r="9" spans="1:6" x14ac:dyDescent="0.35">
      <c r="D9" t="s">
        <v>85</v>
      </c>
      <c r="E9">
        <f>1000-E8</f>
        <v>140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E0FE-DDA4-48FC-BFF9-4609115CC028}">
  <dimension ref="A1:F8"/>
  <sheetViews>
    <sheetView workbookViewId="0">
      <selection activeCell="F2" sqref="F2:F6"/>
    </sheetView>
  </sheetViews>
  <sheetFormatPr defaultRowHeight="14.5" x14ac:dyDescent="0.35"/>
  <cols>
    <col min="1" max="1" width="14.6328125" bestFit="1" customWidth="1"/>
    <col min="2" max="2" width="7.453125" bestFit="1" customWidth="1"/>
    <col min="3" max="3" width="7.08984375" customWidth="1"/>
    <col min="4" max="4" width="11.6328125" bestFit="1" customWidth="1"/>
    <col min="5" max="5" width="8.1796875" customWidth="1"/>
    <col min="6" max="6" width="19.26953125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2" t="s">
        <v>58</v>
      </c>
      <c r="B2" s="2" t="s">
        <v>59</v>
      </c>
      <c r="C2" s="2">
        <v>7</v>
      </c>
      <c r="D2" s="2">
        <v>234</v>
      </c>
      <c r="E2" s="2">
        <v>425</v>
      </c>
      <c r="F2">
        <f>(C2/100)*(E2/10)</f>
        <v>2.9750000000000001</v>
      </c>
    </row>
    <row r="3" spans="1:6" x14ac:dyDescent="0.35">
      <c r="A3" s="1" t="s">
        <v>60</v>
      </c>
      <c r="B3" s="1" t="s">
        <v>59</v>
      </c>
      <c r="C3" s="1">
        <v>4</v>
      </c>
      <c r="D3" s="1">
        <v>120</v>
      </c>
      <c r="E3" s="1">
        <v>70</v>
      </c>
      <c r="F3">
        <f t="shared" ref="F3:F6" si="0">(C3/100)*(E3/10)</f>
        <v>0.28000000000000003</v>
      </c>
    </row>
    <row r="4" spans="1:6" x14ac:dyDescent="0.35">
      <c r="A4" s="2" t="s">
        <v>61</v>
      </c>
      <c r="B4" s="2" t="s">
        <v>59</v>
      </c>
      <c r="C4" s="2">
        <v>3</v>
      </c>
      <c r="D4" s="2">
        <v>105</v>
      </c>
      <c r="E4" s="2">
        <v>65</v>
      </c>
      <c r="F4">
        <f t="shared" si="0"/>
        <v>0.19500000000000001</v>
      </c>
    </row>
    <row r="5" spans="1:6" x14ac:dyDescent="0.35">
      <c r="A5" s="1" t="s">
        <v>62</v>
      </c>
      <c r="B5" s="1" t="s">
        <v>59</v>
      </c>
      <c r="C5" s="1">
        <v>3</v>
      </c>
      <c r="D5" s="1">
        <v>100</v>
      </c>
      <c r="E5" s="1">
        <v>40</v>
      </c>
      <c r="F5">
        <f t="shared" si="0"/>
        <v>0.12</v>
      </c>
    </row>
    <row r="6" spans="1:6" x14ac:dyDescent="0.35">
      <c r="A6" s="3" t="s">
        <v>63</v>
      </c>
      <c r="B6" s="3" t="s">
        <v>59</v>
      </c>
      <c r="C6" s="3">
        <v>6</v>
      </c>
      <c r="D6" s="3">
        <v>188</v>
      </c>
      <c r="E6" s="3">
        <v>195</v>
      </c>
      <c r="F6">
        <f t="shared" si="0"/>
        <v>1.17</v>
      </c>
    </row>
    <row r="7" spans="1:6" x14ac:dyDescent="0.35">
      <c r="D7" t="s">
        <v>86</v>
      </c>
      <c r="E7">
        <f>SUM(E2:E6)</f>
        <v>795</v>
      </c>
    </row>
    <row r="8" spans="1:6" x14ac:dyDescent="0.35">
      <c r="D8" t="s">
        <v>85</v>
      </c>
      <c r="E8">
        <f>1000-E7</f>
        <v>205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0173-EF0D-4B30-97A1-C4154BCE114F}">
  <dimension ref="A1:F9"/>
  <sheetViews>
    <sheetView workbookViewId="0">
      <selection activeCell="F1" sqref="A1:XFD1048576"/>
    </sheetView>
  </sheetViews>
  <sheetFormatPr defaultColWidth="37.453125" defaultRowHeight="14.5" x14ac:dyDescent="0.35"/>
  <cols>
    <col min="1" max="1" width="16.08984375" bestFit="1" customWidth="1"/>
    <col min="2" max="2" width="14.2695312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4" t="s">
        <v>87</v>
      </c>
      <c r="B1" s="5" t="s">
        <v>88</v>
      </c>
      <c r="C1" s="5" t="s">
        <v>89</v>
      </c>
      <c r="D1" s="5" t="s">
        <v>90</v>
      </c>
      <c r="E1" s="6" t="s">
        <v>91</v>
      </c>
      <c r="F1" t="s">
        <v>92</v>
      </c>
    </row>
    <row r="2" spans="1:6" x14ac:dyDescent="0.35">
      <c r="A2" s="2" t="s">
        <v>64</v>
      </c>
      <c r="B2" s="2" t="s">
        <v>65</v>
      </c>
      <c r="C2" s="2">
        <v>6</v>
      </c>
      <c r="D2" s="2">
        <v>210</v>
      </c>
      <c r="E2" s="2">
        <v>305</v>
      </c>
      <c r="F2">
        <f>(C2/100)*(E2/10)</f>
        <v>1.8299999999999998</v>
      </c>
    </row>
    <row r="3" spans="1:6" x14ac:dyDescent="0.35">
      <c r="A3" s="1" t="s">
        <v>66</v>
      </c>
      <c r="B3" s="1" t="s">
        <v>65</v>
      </c>
      <c r="C3" s="1">
        <v>5</v>
      </c>
      <c r="D3" s="1">
        <v>162</v>
      </c>
      <c r="E3" s="1">
        <v>185</v>
      </c>
      <c r="F3">
        <f t="shared" ref="F3:F7" si="0">(C3/100)*(E3/10)</f>
        <v>0.92500000000000004</v>
      </c>
    </row>
    <row r="4" spans="1:6" x14ac:dyDescent="0.35">
      <c r="A4" s="2" t="s">
        <v>67</v>
      </c>
      <c r="B4" s="2" t="s">
        <v>65</v>
      </c>
      <c r="C4" s="2">
        <v>4</v>
      </c>
      <c r="D4" s="2">
        <v>127</v>
      </c>
      <c r="E4" s="2">
        <v>105</v>
      </c>
      <c r="F4">
        <f t="shared" si="0"/>
        <v>0.42</v>
      </c>
    </row>
    <row r="5" spans="1:6" x14ac:dyDescent="0.35">
      <c r="A5" s="1" t="s">
        <v>68</v>
      </c>
      <c r="B5" s="1" t="s">
        <v>65</v>
      </c>
      <c r="C5" s="1">
        <v>3</v>
      </c>
      <c r="D5" s="1">
        <v>108</v>
      </c>
      <c r="E5" s="1">
        <v>80</v>
      </c>
      <c r="F5">
        <f t="shared" si="0"/>
        <v>0.24</v>
      </c>
    </row>
    <row r="6" spans="1:6" x14ac:dyDescent="0.35">
      <c r="A6" s="2" t="s">
        <v>69</v>
      </c>
      <c r="B6" s="2" t="s">
        <v>65</v>
      </c>
      <c r="C6" s="2">
        <v>3</v>
      </c>
      <c r="D6" s="2">
        <v>100</v>
      </c>
      <c r="E6" s="2">
        <v>40</v>
      </c>
      <c r="F6">
        <f t="shared" si="0"/>
        <v>0.12</v>
      </c>
    </row>
    <row r="7" spans="1:6" x14ac:dyDescent="0.35">
      <c r="A7" s="3" t="s">
        <v>70</v>
      </c>
      <c r="B7" s="3" t="s">
        <v>65</v>
      </c>
      <c r="C7" s="3">
        <v>3</v>
      </c>
      <c r="D7" s="3">
        <v>104</v>
      </c>
      <c r="E7" s="3">
        <v>60</v>
      </c>
      <c r="F7">
        <f t="shared" si="0"/>
        <v>0.18</v>
      </c>
    </row>
    <row r="8" spans="1:6" x14ac:dyDescent="0.35">
      <c r="D8" t="s">
        <v>86</v>
      </c>
      <c r="E8">
        <f>SUM(E2:E7)</f>
        <v>775</v>
      </c>
    </row>
    <row r="9" spans="1:6" x14ac:dyDescent="0.35">
      <c r="D9" t="s">
        <v>85</v>
      </c>
      <c r="E9">
        <f>1000-E8</f>
        <v>225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819B-44F2-4659-8BAC-1EF9A37A5CAD}">
  <dimension ref="A1:F9"/>
  <sheetViews>
    <sheetView workbookViewId="0">
      <selection activeCell="F1" sqref="F1"/>
    </sheetView>
  </sheetViews>
  <sheetFormatPr defaultRowHeight="14.5" x14ac:dyDescent="0.35"/>
  <cols>
    <col min="1" max="1" width="18.90625" bestFit="1" customWidth="1"/>
    <col min="2" max="2" width="7.5429687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10" t="s">
        <v>92</v>
      </c>
    </row>
    <row r="2" spans="1:6" x14ac:dyDescent="0.35">
      <c r="A2" s="1" t="s">
        <v>71</v>
      </c>
      <c r="B2" s="1" t="s">
        <v>72</v>
      </c>
      <c r="C2" s="1">
        <v>6</v>
      </c>
      <c r="D2" s="1">
        <v>208</v>
      </c>
      <c r="E2" s="1">
        <v>295</v>
      </c>
      <c r="F2">
        <f>(C2/100)*(E2/10)</f>
        <v>1.77</v>
      </c>
    </row>
    <row r="3" spans="1:6" x14ac:dyDescent="0.35">
      <c r="A3" s="2" t="s">
        <v>73</v>
      </c>
      <c r="B3" s="2" t="s">
        <v>72</v>
      </c>
      <c r="C3" s="2">
        <v>6</v>
      </c>
      <c r="D3" s="2">
        <v>198</v>
      </c>
      <c r="E3" s="2">
        <v>245</v>
      </c>
      <c r="F3">
        <f t="shared" ref="F3:F7" si="0">(C3/100)*(E3/10)</f>
        <v>1.47</v>
      </c>
    </row>
    <row r="4" spans="1:6" x14ac:dyDescent="0.35">
      <c r="A4" s="1" t="s">
        <v>74</v>
      </c>
      <c r="B4" s="1" t="s">
        <v>72</v>
      </c>
      <c r="C4" s="1">
        <v>4</v>
      </c>
      <c r="D4" s="1">
        <v>130</v>
      </c>
      <c r="E4" s="1">
        <v>120</v>
      </c>
      <c r="F4">
        <f t="shared" si="0"/>
        <v>0.48</v>
      </c>
    </row>
    <row r="5" spans="1:6" x14ac:dyDescent="0.35">
      <c r="A5" s="2" t="s">
        <v>75</v>
      </c>
      <c r="B5" s="2" t="s">
        <v>72</v>
      </c>
      <c r="C5" s="2">
        <v>3</v>
      </c>
      <c r="D5" s="2">
        <v>118</v>
      </c>
      <c r="E5" s="2">
        <v>130</v>
      </c>
      <c r="F5">
        <f t="shared" si="0"/>
        <v>0.39</v>
      </c>
    </row>
    <row r="6" spans="1:6" x14ac:dyDescent="0.35">
      <c r="A6" s="1" t="s">
        <v>76</v>
      </c>
      <c r="B6" s="1" t="s">
        <v>72</v>
      </c>
      <c r="C6" s="1">
        <v>3</v>
      </c>
      <c r="D6" s="1">
        <v>100</v>
      </c>
      <c r="E6" s="1">
        <v>40</v>
      </c>
      <c r="F6">
        <f t="shared" si="0"/>
        <v>0.12</v>
      </c>
    </row>
    <row r="7" spans="1:6" x14ac:dyDescent="0.35">
      <c r="A7" s="3" t="s">
        <v>77</v>
      </c>
      <c r="B7" s="3" t="s">
        <v>72</v>
      </c>
      <c r="C7" s="3">
        <v>5</v>
      </c>
      <c r="D7" s="3">
        <v>155</v>
      </c>
      <c r="E7" s="3">
        <v>150</v>
      </c>
      <c r="F7">
        <f t="shared" si="0"/>
        <v>0.75</v>
      </c>
    </row>
    <row r="8" spans="1:6" x14ac:dyDescent="0.35">
      <c r="D8" t="s">
        <v>86</v>
      </c>
      <c r="E8">
        <f>SUM(E2:E7)</f>
        <v>980</v>
      </c>
    </row>
    <row r="9" spans="1:6" x14ac:dyDescent="0.35">
      <c r="D9" t="s">
        <v>85</v>
      </c>
      <c r="E9">
        <f>1000-E8</f>
        <v>20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981D-3031-44D5-9575-0508CF2B547A}">
  <dimension ref="A1:F9"/>
  <sheetViews>
    <sheetView workbookViewId="0">
      <selection sqref="A1:F9"/>
    </sheetView>
  </sheetViews>
  <sheetFormatPr defaultRowHeight="14.5" x14ac:dyDescent="0.35"/>
  <cols>
    <col min="1" max="1" width="18.36328125" bestFit="1" customWidth="1"/>
    <col min="2" max="2" width="13.3632812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9" t="s">
        <v>92</v>
      </c>
    </row>
    <row r="2" spans="1:6" x14ac:dyDescent="0.35">
      <c r="A2" s="2" t="s">
        <v>78</v>
      </c>
      <c r="B2" s="2" t="s">
        <v>79</v>
      </c>
      <c r="C2" s="2">
        <v>5</v>
      </c>
      <c r="D2" s="2">
        <v>168</v>
      </c>
      <c r="E2" s="2">
        <v>215</v>
      </c>
      <c r="F2">
        <f>(C2/100)*(E2/10)</f>
        <v>1.075</v>
      </c>
    </row>
    <row r="3" spans="1:6" x14ac:dyDescent="0.35">
      <c r="A3" s="7" t="s">
        <v>84</v>
      </c>
      <c r="B3" s="7" t="s">
        <v>79</v>
      </c>
      <c r="C3" s="7">
        <v>6</v>
      </c>
      <c r="D3" s="7">
        <v>188</v>
      </c>
      <c r="E3" s="7">
        <v>195</v>
      </c>
      <c r="F3">
        <f t="shared" ref="F3:F7" si="0">(C3/100)*(E3/10)</f>
        <v>1.17</v>
      </c>
    </row>
    <row r="4" spans="1:6" x14ac:dyDescent="0.35">
      <c r="A4" s="1" t="s">
        <v>80</v>
      </c>
      <c r="B4" s="1" t="s">
        <v>79</v>
      </c>
      <c r="C4" s="1">
        <v>4</v>
      </c>
      <c r="D4" s="1">
        <v>131</v>
      </c>
      <c r="E4" s="1">
        <v>125</v>
      </c>
      <c r="F4">
        <f t="shared" si="0"/>
        <v>0.5</v>
      </c>
    </row>
    <row r="5" spans="1:6" x14ac:dyDescent="0.35">
      <c r="A5" s="2" t="s">
        <v>81</v>
      </c>
      <c r="B5" s="2" t="s">
        <v>79</v>
      </c>
      <c r="C5" s="2">
        <v>4</v>
      </c>
      <c r="D5" s="2">
        <v>124</v>
      </c>
      <c r="E5" s="2">
        <v>90</v>
      </c>
      <c r="F5">
        <f t="shared" si="0"/>
        <v>0.36</v>
      </c>
    </row>
    <row r="6" spans="1:6" x14ac:dyDescent="0.35">
      <c r="A6" s="1" t="s">
        <v>82</v>
      </c>
      <c r="B6" s="1" t="s">
        <v>79</v>
      </c>
      <c r="C6" s="1">
        <v>3</v>
      </c>
      <c r="D6" s="1">
        <v>106</v>
      </c>
      <c r="E6" s="1">
        <v>70</v>
      </c>
      <c r="F6">
        <f t="shared" si="0"/>
        <v>0.21</v>
      </c>
    </row>
    <row r="7" spans="1:6" x14ac:dyDescent="0.35">
      <c r="A7" t="s">
        <v>83</v>
      </c>
      <c r="B7" t="s">
        <v>79</v>
      </c>
      <c r="C7">
        <v>3</v>
      </c>
      <c r="D7">
        <v>100</v>
      </c>
      <c r="E7">
        <v>40</v>
      </c>
      <c r="F7">
        <f t="shared" si="0"/>
        <v>0.12</v>
      </c>
    </row>
    <row r="8" spans="1:6" x14ac:dyDescent="0.35">
      <c r="D8" t="s">
        <v>86</v>
      </c>
      <c r="E8">
        <f>SUM(E2:E7)</f>
        <v>735</v>
      </c>
    </row>
    <row r="9" spans="1:6" x14ac:dyDescent="0.35">
      <c r="D9" t="s">
        <v>85</v>
      </c>
      <c r="E9">
        <f>1000-E8</f>
        <v>265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7493-3ABD-4A4A-B2E9-5090E42A524A}">
  <dimension ref="A1:F8"/>
  <sheetViews>
    <sheetView tabSelected="1" workbookViewId="0">
      <selection activeCell="F6" sqref="F6"/>
    </sheetView>
  </sheetViews>
  <sheetFormatPr defaultRowHeight="14.5" x14ac:dyDescent="0.35"/>
  <cols>
    <col min="1" max="1" width="18.36328125" bestFit="1" customWidth="1"/>
    <col min="2" max="2" width="13.36328125" bestFit="1" customWidth="1"/>
    <col min="3" max="3" width="7.36328125" bestFit="1" customWidth="1"/>
    <col min="4" max="4" width="11.6328125" bestFit="1" customWidth="1"/>
    <col min="5" max="5" width="8.453125" bestFit="1" customWidth="1"/>
    <col min="6" max="6" width="19.7265625" bestFit="1" customWidth="1"/>
  </cols>
  <sheetData>
    <row r="1" spans="1:6" x14ac:dyDescent="0.35">
      <c r="A1" s="8" t="s">
        <v>87</v>
      </c>
      <c r="B1" s="9" t="s">
        <v>88</v>
      </c>
      <c r="C1" s="9" t="s">
        <v>89</v>
      </c>
      <c r="D1" s="9" t="s">
        <v>90</v>
      </c>
      <c r="E1" s="10" t="s">
        <v>91</v>
      </c>
      <c r="F1" s="9" t="s">
        <v>92</v>
      </c>
    </row>
    <row r="2" spans="1:6" x14ac:dyDescent="0.35">
      <c r="A2" s="1" t="s">
        <v>93</v>
      </c>
      <c r="B2" s="1" t="s">
        <v>94</v>
      </c>
      <c r="C2" s="1">
        <v>6</v>
      </c>
      <c r="D2" s="1">
        <v>191</v>
      </c>
      <c r="E2" s="1">
        <v>210</v>
      </c>
      <c r="F2">
        <f>(C2/100)*(E2/10)</f>
        <v>1.26</v>
      </c>
    </row>
    <row r="3" spans="1:6" x14ac:dyDescent="0.35">
      <c r="A3" s="2" t="s">
        <v>95</v>
      </c>
      <c r="B3" s="2" t="s">
        <v>94</v>
      </c>
      <c r="C3" s="2">
        <v>4</v>
      </c>
      <c r="D3" s="2">
        <v>138</v>
      </c>
      <c r="E3" s="2">
        <v>160</v>
      </c>
      <c r="F3">
        <f t="shared" ref="F3:F6" si="0">(C3/100)*(E3/10)</f>
        <v>0.64</v>
      </c>
    </row>
    <row r="4" spans="1:6" x14ac:dyDescent="0.35">
      <c r="A4" s="1" t="s">
        <v>96</v>
      </c>
      <c r="B4" s="1" t="s">
        <v>94</v>
      </c>
      <c r="C4" s="1">
        <v>4</v>
      </c>
      <c r="D4" s="1">
        <v>124</v>
      </c>
      <c r="E4" s="1">
        <v>90</v>
      </c>
      <c r="F4">
        <f t="shared" si="0"/>
        <v>0.36</v>
      </c>
    </row>
    <row r="5" spans="1:6" x14ac:dyDescent="0.35">
      <c r="A5" s="2" t="s">
        <v>97</v>
      </c>
      <c r="B5" s="2" t="s">
        <v>94</v>
      </c>
      <c r="C5" s="2">
        <v>4</v>
      </c>
      <c r="D5" s="2">
        <v>120</v>
      </c>
      <c r="E5" s="2">
        <v>70</v>
      </c>
      <c r="F5">
        <f t="shared" si="0"/>
        <v>0.28000000000000003</v>
      </c>
    </row>
    <row r="6" spans="1:6" x14ac:dyDescent="0.35">
      <c r="A6" s="3" t="s">
        <v>98</v>
      </c>
      <c r="B6" s="3" t="s">
        <v>94</v>
      </c>
      <c r="C6" s="3">
        <v>5</v>
      </c>
      <c r="D6" s="3">
        <v>155</v>
      </c>
      <c r="E6" s="3">
        <v>150</v>
      </c>
      <c r="F6">
        <f t="shared" si="0"/>
        <v>0.75</v>
      </c>
    </row>
    <row r="7" spans="1:6" x14ac:dyDescent="0.35">
      <c r="D7" t="s">
        <v>86</v>
      </c>
      <c r="E7">
        <f>SUM(E2:E6)</f>
        <v>680</v>
      </c>
    </row>
    <row r="8" spans="1:6" x14ac:dyDescent="0.35">
      <c r="D8" t="s">
        <v>85</v>
      </c>
      <c r="E8">
        <f>1000-E7</f>
        <v>320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BLUE STRIKERS</vt:lpstr>
      <vt:lpstr>FC BARCELONA</vt:lpstr>
      <vt:lpstr>LA MASIA</vt:lpstr>
      <vt:lpstr>KOPITES</vt:lpstr>
      <vt:lpstr>PORTLAND</vt:lpstr>
      <vt:lpstr>LEGENDS</vt:lpstr>
      <vt:lpstr>LOS BLANCOS</vt:lpstr>
      <vt:lpstr>LOS GALACTICOS</vt:lpstr>
      <vt:lpstr>MANCHESTER UNITED</vt:lpstr>
      <vt:lpstr>PSYCHOZ</vt:lpstr>
      <vt:lpstr>QATAR</vt:lpstr>
      <vt:lpstr>SKILL 555</vt:lpstr>
      <vt:lpstr>VARSITY</vt:lpstr>
      <vt:lpstr>RED HAWKS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Shamsear Ebrahim</dc:creator>
  <cp:lastModifiedBy>Shamsear Ebrahim</cp:lastModifiedBy>
  <dcterms:created xsi:type="dcterms:W3CDTF">2025-11-19T12:21:03Z</dcterms:created>
  <dcterms:modified xsi:type="dcterms:W3CDTF">2025-11-20T13:31:43Z</dcterms:modified>
</cp:coreProperties>
</file>